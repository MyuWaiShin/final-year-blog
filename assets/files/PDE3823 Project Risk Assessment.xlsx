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/>
  <xr:revisionPtr revIDLastSave="178" documentId="8_{8FDA022D-E13F-493C-A4FA-67EFED1C5A77}" xr6:coauthVersionLast="47" xr6:coauthVersionMax="47" xr10:uidLastSave="{FA80F73F-EC3C-4108-9ED8-6642E915138E}"/>
  <bookViews>
    <workbookView xWindow="43080" yWindow="-120" windowWidth="29040" windowHeight="15720" xr2:uid="{00000000-000D-0000-FFFF-FFFF00000000}"/>
  </bookViews>
  <sheets>
    <sheet name="New Scientist Live 2023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5" i="1" l="1"/>
  <c r="K25" i="1"/>
  <c r="G25" i="1"/>
  <c r="E25" i="1"/>
  <c r="H25" i="1" s="1"/>
  <c r="M24" i="1"/>
  <c r="K24" i="1"/>
  <c r="G24" i="1"/>
  <c r="E24" i="1"/>
  <c r="H24" i="1" s="1"/>
  <c r="M23" i="1"/>
  <c r="K23" i="1"/>
  <c r="N23" i="1" s="1"/>
  <c r="G23" i="1"/>
  <c r="E23" i="1"/>
  <c r="M22" i="1"/>
  <c r="K22" i="1"/>
  <c r="G22" i="1"/>
  <c r="E22" i="1"/>
  <c r="M21" i="1"/>
  <c r="K21" i="1"/>
  <c r="N21" i="1" s="1"/>
  <c r="G21" i="1"/>
  <c r="E21" i="1"/>
  <c r="H21" i="1" s="1"/>
  <c r="M20" i="1"/>
  <c r="K20" i="1"/>
  <c r="G20" i="1"/>
  <c r="E20" i="1"/>
  <c r="M19" i="1"/>
  <c r="K19" i="1"/>
  <c r="G19" i="1"/>
  <c r="E19" i="1"/>
  <c r="M18" i="1"/>
  <c r="K18" i="1"/>
  <c r="G18" i="1"/>
  <c r="E18" i="1"/>
  <c r="M17" i="1"/>
  <c r="K17" i="1"/>
  <c r="G17" i="1"/>
  <c r="E17" i="1"/>
  <c r="H22" i="1" l="1"/>
  <c r="N20" i="1"/>
  <c r="N22" i="1"/>
  <c r="N24" i="1"/>
  <c r="N25" i="1"/>
  <c r="H20" i="1"/>
  <c r="H23" i="1"/>
  <c r="N19" i="1"/>
  <c r="H19" i="1"/>
  <c r="H18" i="1"/>
  <c r="H17" i="1"/>
  <c r="N18" i="1"/>
  <c r="N17" i="1"/>
  <c r="E16" i="1"/>
  <c r="M16" i="1"/>
  <c r="K16" i="1"/>
  <c r="G16" i="1"/>
  <c r="E11" i="1"/>
  <c r="G11" i="1"/>
  <c r="K11" i="1"/>
  <c r="M11" i="1"/>
  <c r="E12" i="1"/>
  <c r="G12" i="1"/>
  <c r="K12" i="1"/>
  <c r="M12" i="1"/>
  <c r="E13" i="1"/>
  <c r="G13" i="1"/>
  <c r="K13" i="1"/>
  <c r="M13" i="1"/>
  <c r="E14" i="1"/>
  <c r="G14" i="1"/>
  <c r="K14" i="1"/>
  <c r="M14" i="1"/>
  <c r="E15" i="1"/>
  <c r="G15" i="1"/>
  <c r="K15" i="1"/>
  <c r="M15" i="1"/>
  <c r="M10" i="1"/>
  <c r="K10" i="1"/>
  <c r="M9" i="1"/>
  <c r="K9" i="1"/>
  <c r="G9" i="1"/>
  <c r="G10" i="1"/>
  <c r="E9" i="1"/>
  <c r="E10" i="1"/>
  <c r="N11" i="1" l="1"/>
  <c r="H10" i="1"/>
  <c r="N16" i="1"/>
  <c r="N14" i="1"/>
  <c r="N13" i="1"/>
  <c r="N12" i="1"/>
  <c r="N10" i="1"/>
  <c r="H13" i="1"/>
  <c r="N15" i="1"/>
  <c r="H9" i="1"/>
</calcChain>
</file>

<file path=xl/sharedStrings.xml><?xml version="1.0" encoding="utf-8"?>
<sst xmlns="http://schemas.openxmlformats.org/spreadsheetml/2006/main" count="166" uniqueCount="82">
  <si>
    <t>Event Name:</t>
  </si>
  <si>
    <t>Site Supervisors:</t>
  </si>
  <si>
    <t>All persons onsite</t>
  </si>
  <si>
    <t>HAZARD</t>
  </si>
  <si>
    <t xml:space="preserve">WHO MIGHT BE HARMED </t>
  </si>
  <si>
    <t>RISK LEVEL</t>
  </si>
  <si>
    <t>Stand Number:</t>
  </si>
  <si>
    <t>Stand Type:</t>
  </si>
  <si>
    <t>TASK / ACTIVITY</t>
  </si>
  <si>
    <t>Very Likely</t>
  </si>
  <si>
    <t>Likely</t>
  </si>
  <si>
    <t>Possible</t>
  </si>
  <si>
    <t>Unlikely</t>
  </si>
  <si>
    <t>Very Unlikely</t>
  </si>
  <si>
    <t>RISK SEVERITY</t>
  </si>
  <si>
    <t>Near Miss</t>
  </si>
  <si>
    <t>Minor Injury</t>
  </si>
  <si>
    <t>3 Day + Injury</t>
  </si>
  <si>
    <t>Major Injury</t>
  </si>
  <si>
    <t>Death</t>
  </si>
  <si>
    <t>CONTROLLED RISK LEVEL</t>
  </si>
  <si>
    <t>Shell Scheme</t>
  </si>
  <si>
    <t>Space Only</t>
  </si>
  <si>
    <t>Showcase</t>
  </si>
  <si>
    <t>Have A Go</t>
  </si>
  <si>
    <t>ESF Exhibitor</t>
  </si>
  <si>
    <t>CONTROL MEASURES PUT IN PLACE TO REDUCE RISK</t>
  </si>
  <si>
    <t>NEW RISK SEVERITY</t>
  </si>
  <si>
    <t>AT RISK</t>
  </si>
  <si>
    <t>Responsible Person:</t>
  </si>
  <si>
    <t>E-mail:</t>
  </si>
  <si>
    <t>Telephone:</t>
  </si>
  <si>
    <t>Date:</t>
  </si>
  <si>
    <t>RISK LIKELIHOOD</t>
  </si>
  <si>
    <t>NEW RISK LIKELIHOOD</t>
  </si>
  <si>
    <t>Contractors</t>
  </si>
  <si>
    <t>Competition</t>
  </si>
  <si>
    <t>Feature</t>
  </si>
  <si>
    <t xml:space="preserve">Visitors &amp; Public </t>
  </si>
  <si>
    <t>Organisers, Partners &amp; Stakeholders</t>
  </si>
  <si>
    <t>CON</t>
  </si>
  <si>
    <t>OPS</t>
  </si>
  <si>
    <t>VP</t>
  </si>
  <si>
    <t>APO</t>
  </si>
  <si>
    <t>Stand Size (sqm):</t>
  </si>
  <si>
    <t>PDE3823 Risk Assessment Template 2025-26</t>
  </si>
  <si>
    <t>Individual Project</t>
  </si>
  <si>
    <t>Start Date:</t>
  </si>
  <si>
    <t>End Date:</t>
  </si>
  <si>
    <t>Project Owner:</t>
  </si>
  <si>
    <t>Project Title</t>
  </si>
  <si>
    <t>Collision between moving arm and operator</t>
  </si>
  <si>
    <t>UR10 robot arm operation during pick-and-place</t>
  </si>
  <si>
    <t>Gripper closing during manual object placement</t>
  </si>
  <si>
    <t>Finger/hand caught between closing gripper jaws</t>
  </si>
  <si>
    <t xml:space="preserve">Gripper monitored for unusual sounds or heat. </t>
  </si>
  <si>
    <t>Code and data management</t>
  </si>
  <si>
    <t xml:space="preserve">All code under Git version control. Datasets and models auto-synced to OneDrive. Blog serves as ongoing experiment log. </t>
  </si>
  <si>
    <t xml:space="preserve">Object pick and place </t>
  </si>
  <si>
    <t>Object dropped or ejected from gripper at speed. Slip or trip from scattered objects.</t>
  </si>
  <si>
    <t>Robot moving to programmed pick positions</t>
  </si>
  <si>
    <t xml:space="preserve">Arm sweeping through unexpected paths or colliding with obstacles. </t>
  </si>
  <si>
    <t>Recovery logic implementation too complex, insufficient time to complete before submission deadline</t>
  </si>
  <si>
    <t>RG2 gripper operations</t>
  </si>
  <si>
    <t>Verify safe trajectory in each run. Home position verified to be a safe, retracted configuration.</t>
  </si>
  <si>
    <t>YOLO model inference / pose estimation pipeline</t>
  </si>
  <si>
    <t>Confidence threshold set to ≥0.80 before pose is accepted. Poses sanity-checked against known workspace bounds before sending to robot. "No pick" safe skip if detection confidence is low.</t>
  </si>
  <si>
    <t xml:space="preserve">Model misclassification causing incorrect grasp target or incorrect approach pose sent to robot, causing collisions or uncessary movements. </t>
  </si>
  <si>
    <t>ms3433@live.mdx.ac.uk</t>
  </si>
  <si>
    <t>Myu Wai Shin</t>
  </si>
  <si>
    <t>Failure Detection and Recovery in Robotic Grasps</t>
  </si>
  <si>
    <t xml:space="preserve">Myu Wai Shin (student) </t>
  </si>
  <si>
    <t xml:space="preserve"> Project delivery</t>
  </si>
  <si>
    <t>Mounting the camera eye-in-hand</t>
  </si>
  <si>
    <t>Camera drop or damage due to an insecure mount or a fast robotic arm motion.</t>
  </si>
  <si>
    <t>Maintain a safe distance during execution. E-Stop kept within immediate reach at all times. Operate at a low speed during testing. Safety induction completed.</t>
  </si>
  <si>
    <t>Operate robotic arm within a low-speed range and ensure the camera is securely mounted before testing.</t>
  </si>
  <si>
    <t>Gripper only activated via command. RG2 max grip force is 40N - low risk of serious injury. Avoid placing your hand between the grippers.</t>
  </si>
  <si>
    <t xml:space="preserve">All test objects are lightweight styrofoam. Avoid staying within the pick-and-place workspace during execution. </t>
  </si>
  <si>
    <t>Code or trained model data loss.</t>
  </si>
  <si>
    <t>Gripper overheating or mechanical failure.</t>
  </si>
  <si>
    <t>Defined three contingency plans (A/B/C). Plan B (failure detection + retry recovery) is the minimum viable deliverable.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</si>
</sst>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7"/>
      <color theme="1"/>
      <name val="Arial"/>
      <family val="2"/>
    </font>
    <font>
      <sz val="10"/>
      <color theme="1"/>
      <name val="Calibri"/>
      <family val="2"/>
      <scheme val="minor"/>
    </font>
    <font>
      <sz val="7"/>
      <color theme="1"/>
      <name val="Arial"/>
      <family val="2"/>
    </font>
    <font>
      <b/>
      <sz val="8"/>
      <name val="Arial"/>
      <family val="2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9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wrapText="1"/>
    </xf>
    <xf numFmtId="0" fontId="2" fillId="0" borderId="0" xfId="0" applyFont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6" fillId="9" borderId="0" xfId="0" applyFont="1" applyFill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6" fillId="9" borderId="0" xfId="0" applyFont="1" applyFill="1" applyAlignment="1">
      <alignment horizontal="left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/>
    <xf numFmtId="0" fontId="5" fillId="0" borderId="24" xfId="0" applyFont="1" applyBorder="1" applyAlignment="1">
      <alignment horizontal="right" vertical="center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9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9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1" fillId="4" borderId="20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10" borderId="20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>
      <alignment horizontal="center" vertical="center" wrapText="1"/>
    </xf>
    <xf numFmtId="0" fontId="2" fillId="0" borderId="8" xfId="0" quotePrefix="1" applyFont="1" applyBorder="1" applyAlignment="1" applyProtection="1">
      <alignment horizontal="left" vertical="center" wrapText="1"/>
      <protection locked="0"/>
    </xf>
    <xf numFmtId="0" fontId="2" fillId="11" borderId="2" xfId="0" applyFont="1" applyFill="1" applyBorder="1" applyAlignment="1" applyProtection="1">
      <alignment horizontal="left" vertical="center" wrapText="1"/>
      <protection locked="0"/>
    </xf>
    <xf numFmtId="0" fontId="1" fillId="2" borderId="20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4" fontId="8" fillId="0" borderId="24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/>
      <protection locked="0"/>
    </xf>
    <xf numFmtId="0" fontId="3" fillId="0" borderId="8" xfId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2" fillId="0" borderId="11" xfId="0" applyFont="1" applyBorder="1" applyAlignment="1" applyProtection="1">
      <alignment horizontal="left"/>
      <protection locked="0"/>
    </xf>
    <xf numFmtId="0" fontId="12" fillId="0" borderId="4" xfId="0" applyFont="1" applyBorder="1" applyAlignment="1">
      <alignment vertical="center" wrapText="1"/>
    </xf>
    <xf numFmtId="0" fontId="13" fillId="0" borderId="16" xfId="0" applyFont="1" applyBorder="1"/>
    <xf numFmtId="0" fontId="2" fillId="11" borderId="2" xfId="0" applyFont="1" applyFill="1" applyBorder="1" applyAlignment="1" applyProtection="1">
      <alignment horizontal="left" vertical="center" wrapText="1"/>
      <protection locked="0"/>
    </xf>
    <xf numFmtId="0" fontId="7" fillId="11" borderId="10" xfId="0" applyFont="1" applyFill="1" applyBorder="1" applyAlignment="1" applyProtection="1">
      <alignment horizontal="left"/>
      <protection locked="0"/>
    </xf>
    <xf numFmtId="15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55"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s3433@live.mdx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62"/>
  <sheetViews>
    <sheetView showGridLines="0" tabSelected="1" zoomScale="130" zoomScaleNormal="130" zoomScalePageLayoutView="170" workbookViewId="0">
      <selection activeCell="I21" sqref="I21"/>
    </sheetView>
  </sheetViews>
  <sheetFormatPr defaultColWidth="0" defaultRowHeight="10.15" zeroHeight="1" x14ac:dyDescent="0.3"/>
  <cols>
    <col min="1" max="1" width="15" style="3" customWidth="1"/>
    <col min="2" max="2" width="29.46484375" style="3" customWidth="1"/>
    <col min="3" max="3" width="16.46484375" style="3" customWidth="1"/>
    <col min="4" max="4" width="9.796875" style="3" customWidth="1"/>
    <col min="5" max="5" width="2.6640625" style="3" customWidth="1"/>
    <col min="6" max="6" width="8.1328125" style="3" customWidth="1"/>
    <col min="7" max="7" width="2.6640625" style="3" customWidth="1"/>
    <col min="8" max="8" width="5.1328125" style="3" customWidth="1"/>
    <col min="9" max="9" width="22" style="22" customWidth="1"/>
    <col min="10" max="10" width="9.796875" style="3" customWidth="1"/>
    <col min="11" max="11" width="2.6640625" style="3" customWidth="1"/>
    <col min="12" max="12" width="9.1328125" style="3" customWidth="1"/>
    <col min="13" max="13" width="2.6640625" style="3" customWidth="1"/>
    <col min="14" max="14" width="10.46484375" style="3" customWidth="1"/>
    <col min="15" max="15" width="0.46484375" style="15" customWidth="1"/>
    <col min="16" max="16" width="9.1328125" style="3" hidden="1" customWidth="1"/>
    <col min="17" max="16384" width="9.1328125" style="3" hidden="1"/>
  </cols>
  <sheetData>
    <row r="1" spans="1:15" ht="24.75" customHeight="1" thickBot="1" x14ac:dyDescent="0.5">
      <c r="A1" s="49" t="s">
        <v>45</v>
      </c>
      <c r="B1" s="50"/>
      <c r="C1" s="50"/>
      <c r="D1" s="50"/>
      <c r="E1" s="50"/>
      <c r="F1" s="50"/>
      <c r="G1" s="50"/>
      <c r="H1" s="50"/>
      <c r="I1" s="50"/>
      <c r="J1" s="16" t="s">
        <v>32</v>
      </c>
      <c r="K1" s="46">
        <v>45917</v>
      </c>
      <c r="L1" s="47"/>
      <c r="M1" s="47"/>
      <c r="N1" s="48"/>
      <c r="O1" s="2"/>
    </row>
    <row r="2" spans="1:15" ht="26.25" customHeight="1" thickBot="1" x14ac:dyDescent="0.45">
      <c r="A2" s="4" t="s">
        <v>50</v>
      </c>
      <c r="B2" s="17" t="s">
        <v>70</v>
      </c>
      <c r="C2" s="5" t="s">
        <v>0</v>
      </c>
      <c r="D2" s="56" t="s">
        <v>46</v>
      </c>
      <c r="E2" s="56"/>
      <c r="F2" s="56"/>
      <c r="G2" s="56"/>
      <c r="H2" s="57"/>
      <c r="I2" s="44" t="s">
        <v>28</v>
      </c>
      <c r="J2" s="45"/>
      <c r="K2" s="21"/>
      <c r="L2" s="21" t="s">
        <v>33</v>
      </c>
      <c r="M2" s="21"/>
      <c r="N2" s="21" t="s">
        <v>14</v>
      </c>
      <c r="O2" s="6" t="s">
        <v>22</v>
      </c>
    </row>
    <row r="3" spans="1:15" ht="20" customHeight="1" x14ac:dyDescent="0.35">
      <c r="A3" s="7" t="s">
        <v>49</v>
      </c>
      <c r="B3" s="17" t="s">
        <v>69</v>
      </c>
      <c r="C3" s="8" t="s">
        <v>1</v>
      </c>
      <c r="D3" s="58"/>
      <c r="E3" s="58"/>
      <c r="F3" s="58"/>
      <c r="G3" s="58"/>
      <c r="H3" s="59"/>
      <c r="I3" s="28" t="s">
        <v>35</v>
      </c>
      <c r="J3" s="31" t="s">
        <v>40</v>
      </c>
      <c r="K3" s="38"/>
      <c r="L3" s="23" t="s">
        <v>9</v>
      </c>
      <c r="M3" s="41"/>
      <c r="N3" s="23" t="s">
        <v>19</v>
      </c>
      <c r="O3" s="6" t="s">
        <v>21</v>
      </c>
    </row>
    <row r="4" spans="1:15" ht="20" customHeight="1" x14ac:dyDescent="0.35">
      <c r="A4" s="7" t="s">
        <v>6</v>
      </c>
      <c r="B4" s="37"/>
      <c r="C4" s="8" t="s">
        <v>47</v>
      </c>
      <c r="D4" s="60">
        <v>46040</v>
      </c>
      <c r="E4" s="61"/>
      <c r="F4" s="61"/>
      <c r="G4" s="61"/>
      <c r="H4" s="62"/>
      <c r="I4" s="29" t="s">
        <v>39</v>
      </c>
      <c r="J4" s="32" t="s">
        <v>41</v>
      </c>
      <c r="K4" s="39"/>
      <c r="L4" s="24" t="s">
        <v>10</v>
      </c>
      <c r="M4" s="42"/>
      <c r="N4" s="24" t="s">
        <v>18</v>
      </c>
      <c r="O4" s="6" t="s">
        <v>37</v>
      </c>
    </row>
    <row r="5" spans="1:15" ht="20" customHeight="1" x14ac:dyDescent="0.35">
      <c r="A5" s="7" t="s">
        <v>44</v>
      </c>
      <c r="B5" s="37"/>
      <c r="C5" s="8" t="s">
        <v>48</v>
      </c>
      <c r="D5" s="60">
        <v>46129</v>
      </c>
      <c r="E5" s="61"/>
      <c r="F5" s="61"/>
      <c r="G5" s="61"/>
      <c r="H5" s="62"/>
      <c r="I5" s="29"/>
      <c r="J5" s="32"/>
      <c r="K5" s="39"/>
      <c r="L5" s="25" t="s">
        <v>11</v>
      </c>
      <c r="M5" s="42"/>
      <c r="N5" s="25" t="s">
        <v>17</v>
      </c>
      <c r="O5" s="6" t="s">
        <v>24</v>
      </c>
    </row>
    <row r="6" spans="1:15" ht="20" customHeight="1" x14ac:dyDescent="0.35">
      <c r="A6" s="7" t="s">
        <v>7</v>
      </c>
      <c r="B6" s="37"/>
      <c r="C6" s="8" t="s">
        <v>29</v>
      </c>
      <c r="D6" s="51" t="s">
        <v>71</v>
      </c>
      <c r="E6" s="51"/>
      <c r="F6" s="51"/>
      <c r="G6" s="51"/>
      <c r="H6" s="52"/>
      <c r="I6" s="29" t="s">
        <v>38</v>
      </c>
      <c r="J6" s="32" t="s">
        <v>42</v>
      </c>
      <c r="K6" s="39"/>
      <c r="L6" s="26" t="s">
        <v>12</v>
      </c>
      <c r="M6" s="42"/>
      <c r="N6" s="26" t="s">
        <v>16</v>
      </c>
      <c r="O6" s="6" t="s">
        <v>23</v>
      </c>
    </row>
    <row r="7" spans="1:15" ht="20" customHeight="1" thickBot="1" x14ac:dyDescent="0.35">
      <c r="A7" s="9" t="s">
        <v>31</v>
      </c>
      <c r="B7" s="36"/>
      <c r="C7" s="10" t="s">
        <v>30</v>
      </c>
      <c r="D7" s="53" t="s">
        <v>68</v>
      </c>
      <c r="E7" s="54"/>
      <c r="F7" s="54"/>
      <c r="G7" s="54"/>
      <c r="H7" s="55"/>
      <c r="I7" s="30" t="s">
        <v>2</v>
      </c>
      <c r="J7" s="33" t="s">
        <v>43</v>
      </c>
      <c r="K7" s="40"/>
      <c r="L7" s="27" t="s">
        <v>13</v>
      </c>
      <c r="M7" s="43"/>
      <c r="N7" s="27" t="s">
        <v>15</v>
      </c>
      <c r="O7" s="6" t="s">
        <v>25</v>
      </c>
    </row>
    <row r="8" spans="1:15" ht="27" customHeight="1" thickBot="1" x14ac:dyDescent="0.35">
      <c r="A8" s="21" t="s">
        <v>8</v>
      </c>
      <c r="B8" s="21" t="s">
        <v>3</v>
      </c>
      <c r="C8" s="21" t="s">
        <v>4</v>
      </c>
      <c r="D8" s="21" t="s">
        <v>33</v>
      </c>
      <c r="E8" s="21"/>
      <c r="F8" s="21" t="s">
        <v>14</v>
      </c>
      <c r="G8" s="21"/>
      <c r="H8" s="21" t="s">
        <v>5</v>
      </c>
      <c r="I8" s="21" t="s">
        <v>26</v>
      </c>
      <c r="J8" s="21" t="s">
        <v>34</v>
      </c>
      <c r="K8" s="21"/>
      <c r="L8" s="21" t="s">
        <v>27</v>
      </c>
      <c r="M8" s="21"/>
      <c r="N8" s="21" t="s">
        <v>20</v>
      </c>
      <c r="O8" s="11" t="s">
        <v>36</v>
      </c>
    </row>
    <row r="9" spans="1:15" ht="60.75" x14ac:dyDescent="0.3">
      <c r="A9" s="20" t="s">
        <v>52</v>
      </c>
      <c r="B9" s="18" t="s">
        <v>51</v>
      </c>
      <c r="C9" s="19" t="s">
        <v>2</v>
      </c>
      <c r="D9" s="19" t="s">
        <v>11</v>
      </c>
      <c r="E9" s="12" t="str">
        <f>IF(D9="Very Likely","5",IF(D9="Likely","4",IF(D9="Possible","3",IF(D9="Unlikely","2",IF(D9="Very Unlikely","1",IF(D9="","0",))))))</f>
        <v>3</v>
      </c>
      <c r="F9" s="1" t="s">
        <v>16</v>
      </c>
      <c r="G9" s="12" t="str">
        <f>IF(F9="Death","5",IF(F9="Major Injury","4",IF(F9="3 Day + Injury","3",IF(F9="Minor Injury","2",IF(F9="Near Miss","1",IF(F9="","0",))))))</f>
        <v>2</v>
      </c>
      <c r="H9" s="13">
        <f>E9*G9</f>
        <v>6</v>
      </c>
      <c r="I9" s="18" t="s">
        <v>75</v>
      </c>
      <c r="J9" s="19" t="s">
        <v>12</v>
      </c>
      <c r="K9" s="12" t="str">
        <f>IF(J9="Very Likely","5",IF(J9="Likely","4",IF(J9="Possible","3",IF(J9="Unlikely","2",IF(J9="Very Unlikely","1",IF(J9="","0",))))))</f>
        <v>2</v>
      </c>
      <c r="L9" s="1" t="s">
        <v>16</v>
      </c>
      <c r="M9" s="12" t="str">
        <f>IF(L9="Death","5",IF(L9="Major Injury","4",IF(L9="3 Day + Injury","3",IF(L9="Minor Injury","2",IF(L9="Near Miss","1",IF(L9="","0",))))))</f>
        <v>2</v>
      </c>
      <c r="N9" s="14">
        <v>6</v>
      </c>
    </row>
    <row r="10" spans="1:15" ht="50.65" x14ac:dyDescent="0.3">
      <c r="A10" s="20" t="s">
        <v>53</v>
      </c>
      <c r="B10" s="18" t="s">
        <v>54</v>
      </c>
      <c r="C10" s="19" t="s">
        <v>2</v>
      </c>
      <c r="D10" s="19" t="s">
        <v>11</v>
      </c>
      <c r="E10" s="12" t="str">
        <f>IF(D10="Very Likely","5",IF(D10="Likely","4",IF(D10="Possible","3",IF(D10="Unlikely","2",IF(D10="Very Unlikely","1",IF(D10="","0",))))))</f>
        <v>3</v>
      </c>
      <c r="F10" s="1" t="s">
        <v>16</v>
      </c>
      <c r="G10" s="12" t="str">
        <f>IF(F10="Death","5",IF(F10="Major Injury","4",IF(F10="3 Day + Injury","3",IF(F10="Minor Injury","2",IF(F10="Near Miss","1",IF(F10="","0",))))))</f>
        <v>2</v>
      </c>
      <c r="H10" s="13">
        <f>E10*G10</f>
        <v>6</v>
      </c>
      <c r="I10" s="18" t="s">
        <v>77</v>
      </c>
      <c r="J10" s="19" t="s">
        <v>12</v>
      </c>
      <c r="K10" s="12" t="str">
        <f>IF(J10="Very Likely","5",IF(J10="Likely","4",IF(J10="Possible","3",IF(J10="Unlikely","2",IF(J10="Very Unlikely","1",IF(J10="","0",))))))</f>
        <v>2</v>
      </c>
      <c r="L10" s="1" t="s">
        <v>16</v>
      </c>
      <c r="M10" s="12" t="str">
        <f>IF(L10="Death","5",IF(L10="Major Injury","4",IF(L10="3 Day + Injury","3",IF(L10="Minor Injury","2",IF(L10="Near Miss","1",IF(L10="","0",))))))</f>
        <v>2</v>
      </c>
      <c r="N10" s="14">
        <f>K10*M10</f>
        <v>4</v>
      </c>
    </row>
    <row r="11" spans="1:15" ht="20.25" x14ac:dyDescent="0.3">
      <c r="A11" s="20" t="s">
        <v>63</v>
      </c>
      <c r="B11" s="18" t="s">
        <v>80</v>
      </c>
      <c r="C11" s="19"/>
      <c r="D11" s="19" t="s">
        <v>11</v>
      </c>
      <c r="E11" s="12" t="str">
        <f t="shared" ref="E11:E17" si="0">IF(D11="Very Likely","5",IF(D11="Likely","4",IF(D11="Possible","3",IF(D11="Unlikely","2",IF(D11="Very Unlikely","1",IF(D11="","0",))))))</f>
        <v>3</v>
      </c>
      <c r="F11" s="1" t="s">
        <v>16</v>
      </c>
      <c r="G11" s="12" t="str">
        <f t="shared" ref="G11:G17" si="1">IF(F11="Death","5",IF(F11="Major Injury","4",IF(F11="3 Day + Injury","3",IF(F11="Minor Injury","2",IF(F11="Near Miss","1",IF(F11="","0",))))))</f>
        <v>2</v>
      </c>
      <c r="H11" s="13">
        <v>10</v>
      </c>
      <c r="I11" s="18" t="s">
        <v>55</v>
      </c>
      <c r="J11" s="19" t="s">
        <v>11</v>
      </c>
      <c r="K11" s="12" t="str">
        <f t="shared" ref="K11:K17" si="2">IF(J11="Very Likely","5",IF(J11="Likely","4",IF(J11="Possible","3",IF(J11="Unlikely","2",IF(J11="Very Unlikely","1",IF(J11="","0",))))))</f>
        <v>3</v>
      </c>
      <c r="L11" s="1" t="s">
        <v>16</v>
      </c>
      <c r="M11" s="12" t="str">
        <f t="shared" ref="M11:M17" si="3">IF(L11="Death","5",IF(L11="Major Injury","4",IF(L11="3 Day + Injury","3",IF(L11="Minor Injury","2",IF(L11="Near Miss","1",IF(L11="","0",))))))</f>
        <v>2</v>
      </c>
      <c r="N11" s="14">
        <f>K11*M11</f>
        <v>6</v>
      </c>
    </row>
    <row r="12" spans="1:15" ht="40.5" x14ac:dyDescent="0.3">
      <c r="A12" s="20" t="s">
        <v>58</v>
      </c>
      <c r="B12" s="18" t="s">
        <v>59</v>
      </c>
      <c r="C12" s="19" t="s">
        <v>2</v>
      </c>
      <c r="D12" s="19" t="s">
        <v>10</v>
      </c>
      <c r="E12" s="12" t="str">
        <f t="shared" si="0"/>
        <v>4</v>
      </c>
      <c r="F12" s="1" t="s">
        <v>16</v>
      </c>
      <c r="G12" s="12" t="str">
        <f t="shared" si="1"/>
        <v>2</v>
      </c>
      <c r="H12" s="13">
        <v>6</v>
      </c>
      <c r="I12" s="18" t="s">
        <v>78</v>
      </c>
      <c r="J12" s="19" t="s">
        <v>11</v>
      </c>
      <c r="K12" s="12" t="str">
        <f t="shared" si="2"/>
        <v>3</v>
      </c>
      <c r="L12" s="1" t="s">
        <v>16</v>
      </c>
      <c r="M12" s="12" t="str">
        <f t="shared" si="3"/>
        <v>2</v>
      </c>
      <c r="N12" s="14">
        <f t="shared" ref="N12:N17" si="4">K12*M12</f>
        <v>6</v>
      </c>
    </row>
    <row r="13" spans="1:15" ht="30.4" x14ac:dyDescent="0.3">
      <c r="A13" s="20" t="s">
        <v>60</v>
      </c>
      <c r="B13" s="18" t="s">
        <v>61</v>
      </c>
      <c r="C13" s="19" t="s">
        <v>2</v>
      </c>
      <c r="D13" s="19" t="s">
        <v>11</v>
      </c>
      <c r="E13" s="12" t="str">
        <f t="shared" si="0"/>
        <v>3</v>
      </c>
      <c r="F13" s="1" t="s">
        <v>16</v>
      </c>
      <c r="G13" s="12" t="str">
        <f t="shared" si="1"/>
        <v>2</v>
      </c>
      <c r="H13" s="13">
        <f t="shared" ref="H13:H17" si="5">E13*G13</f>
        <v>6</v>
      </c>
      <c r="I13" s="18" t="s">
        <v>64</v>
      </c>
      <c r="J13" s="19" t="s">
        <v>11</v>
      </c>
      <c r="K13" s="12" t="str">
        <f t="shared" si="2"/>
        <v>3</v>
      </c>
      <c r="L13" s="1" t="s">
        <v>15</v>
      </c>
      <c r="M13" s="12" t="str">
        <f t="shared" si="3"/>
        <v>1</v>
      </c>
      <c r="N13" s="14">
        <f t="shared" si="4"/>
        <v>3</v>
      </c>
    </row>
    <row r="14" spans="1:15" ht="40.5" x14ac:dyDescent="0.3">
      <c r="A14" s="20" t="s">
        <v>73</v>
      </c>
      <c r="B14" s="63" t="s">
        <v>74</v>
      </c>
      <c r="C14" s="19" t="s">
        <v>2</v>
      </c>
      <c r="D14" s="19" t="s">
        <v>11</v>
      </c>
      <c r="E14" s="12" t="str">
        <f t="shared" si="0"/>
        <v>3</v>
      </c>
      <c r="F14" s="1" t="s">
        <v>16</v>
      </c>
      <c r="G14" s="12" t="str">
        <f t="shared" si="1"/>
        <v>2</v>
      </c>
      <c r="H14" s="13">
        <v>10</v>
      </c>
      <c r="I14" s="18" t="s">
        <v>76</v>
      </c>
      <c r="J14" s="19" t="s">
        <v>12</v>
      </c>
      <c r="K14" s="12" t="str">
        <f t="shared" si="2"/>
        <v>2</v>
      </c>
      <c r="L14" s="1" t="s">
        <v>16</v>
      </c>
      <c r="M14" s="12" t="str">
        <f t="shared" si="3"/>
        <v>2</v>
      </c>
      <c r="N14" s="14">
        <f t="shared" si="4"/>
        <v>4</v>
      </c>
    </row>
    <row r="15" spans="1:15" ht="54" customHeight="1" x14ac:dyDescent="0.3">
      <c r="A15" s="18" t="s">
        <v>56</v>
      </c>
      <c r="B15" s="18" t="s">
        <v>79</v>
      </c>
      <c r="C15" s="19"/>
      <c r="D15" s="18" t="s">
        <v>11</v>
      </c>
      <c r="E15" s="13" t="str">
        <f t="shared" si="0"/>
        <v>3</v>
      </c>
      <c r="F15" s="34" t="s">
        <v>15</v>
      </c>
      <c r="G15" s="13" t="str">
        <f t="shared" si="1"/>
        <v>1</v>
      </c>
      <c r="H15" s="13">
        <v>12</v>
      </c>
      <c r="I15" s="18" t="s">
        <v>57</v>
      </c>
      <c r="J15" s="18" t="s">
        <v>13</v>
      </c>
      <c r="K15" s="13" t="str">
        <f t="shared" si="2"/>
        <v>1</v>
      </c>
      <c r="L15" s="1" t="s">
        <v>15</v>
      </c>
      <c r="M15" s="13" t="str">
        <f t="shared" si="3"/>
        <v>1</v>
      </c>
      <c r="N15" s="13">
        <f t="shared" si="4"/>
        <v>1</v>
      </c>
    </row>
    <row r="16" spans="1:15" ht="70.900000000000006" x14ac:dyDescent="0.3">
      <c r="A16" s="18" t="s">
        <v>65</v>
      </c>
      <c r="B16" s="18" t="s">
        <v>67</v>
      </c>
      <c r="C16" s="19" t="s">
        <v>2</v>
      </c>
      <c r="D16" s="18" t="s">
        <v>10</v>
      </c>
      <c r="E16" s="13" t="str">
        <f t="shared" si="0"/>
        <v>4</v>
      </c>
      <c r="F16" s="34" t="s">
        <v>16</v>
      </c>
      <c r="G16" s="13" t="str">
        <f t="shared" si="1"/>
        <v>2</v>
      </c>
      <c r="H16" s="13">
        <v>6</v>
      </c>
      <c r="I16" s="18" t="s">
        <v>66</v>
      </c>
      <c r="J16" s="18" t="s">
        <v>11</v>
      </c>
      <c r="K16" s="13" t="str">
        <f t="shared" si="2"/>
        <v>3</v>
      </c>
      <c r="L16" s="1" t="s">
        <v>16</v>
      </c>
      <c r="M16" s="13" t="str">
        <f t="shared" si="3"/>
        <v>2</v>
      </c>
      <c r="N16" s="13">
        <f t="shared" si="4"/>
        <v>6</v>
      </c>
    </row>
    <row r="17" spans="1:14" ht="40.5" x14ac:dyDescent="0.3">
      <c r="A17" s="18" t="s">
        <v>72</v>
      </c>
      <c r="B17" s="18" t="s">
        <v>62</v>
      </c>
      <c r="C17" s="19"/>
      <c r="D17" s="18" t="s">
        <v>11</v>
      </c>
      <c r="E17" s="13" t="str">
        <f t="shared" si="0"/>
        <v>3</v>
      </c>
      <c r="F17" s="34" t="s">
        <v>15</v>
      </c>
      <c r="G17" s="13" t="str">
        <f t="shared" si="1"/>
        <v>1</v>
      </c>
      <c r="H17" s="13">
        <f t="shared" si="5"/>
        <v>3</v>
      </c>
      <c r="I17" s="18" t="s">
        <v>81</v>
      </c>
      <c r="J17" s="18" t="s">
        <v>11</v>
      </c>
      <c r="K17" s="13" t="str">
        <f t="shared" si="2"/>
        <v>3</v>
      </c>
      <c r="L17" s="1" t="s">
        <v>15</v>
      </c>
      <c r="M17" s="13" t="str">
        <f t="shared" si="3"/>
        <v>1</v>
      </c>
      <c r="N17" s="35">
        <f t="shared" si="4"/>
        <v>3</v>
      </c>
    </row>
    <row r="18" spans="1:14" ht="14" customHeight="1" x14ac:dyDescent="0.3">
      <c r="A18" s="18"/>
      <c r="B18" s="18"/>
      <c r="C18" s="19" t="s">
        <v>2</v>
      </c>
      <c r="D18" s="18" t="s">
        <v>11</v>
      </c>
      <c r="E18" s="13" t="str">
        <f>IF(D18="Very Likely","5",IF(D18="Likely","4",IF(D18="Possible","3",IF(D18="Unlikely","2",IF(D18="Very Unlikely","1",IF(D18="","0",))))))</f>
        <v>3</v>
      </c>
      <c r="F18" s="34" t="s">
        <v>16</v>
      </c>
      <c r="G18" s="13" t="str">
        <f>IF(F18="Death","5",IF(F18="Major Injury","4",IF(F18="3 Day + Injury","3",IF(F18="Minor Injury","2",IF(F18="Near Miss","1",IF(F18="","0",))))))</f>
        <v>2</v>
      </c>
      <c r="H18" s="13">
        <f>E18*G18</f>
        <v>6</v>
      </c>
      <c r="I18" s="18"/>
      <c r="J18" s="18" t="s">
        <v>12</v>
      </c>
      <c r="K18" s="13" t="str">
        <f>IF(J18="Very Likely","5",IF(J18="Likely","4",IF(J18="Possible","3",IF(J18="Unlikely","2",IF(J18="Very Unlikely","1",IF(J18="","0",))))))</f>
        <v>2</v>
      </c>
      <c r="L18" s="1" t="s">
        <v>16</v>
      </c>
      <c r="M18" s="13" t="str">
        <f>IF(L18="Death","5",IF(L18="Major Injury","4",IF(L18="3 Day + Injury","3",IF(L18="Minor Injury","2",IF(L18="Near Miss","1",IF(L18="","0",))))))</f>
        <v>2</v>
      </c>
      <c r="N18" s="35">
        <f>K18*M18</f>
        <v>4</v>
      </c>
    </row>
    <row r="19" spans="1:14" x14ac:dyDescent="0.3">
      <c r="A19" s="18"/>
      <c r="B19" s="18"/>
      <c r="C19" s="19" t="s">
        <v>2</v>
      </c>
      <c r="D19" s="18" t="s">
        <v>11</v>
      </c>
      <c r="E19" s="13" t="str">
        <f t="shared" ref="E19" si="6">IF(D19="Very Likely","5",IF(D19="Likely","4",IF(D19="Possible","3",IF(D19="Unlikely","2",IF(D19="Very Unlikely","1",IF(D19="","0",))))))</f>
        <v>3</v>
      </c>
      <c r="F19" s="34" t="s">
        <v>16</v>
      </c>
      <c r="G19" s="13" t="str">
        <f t="shared" ref="G19" si="7">IF(F19="Death","5",IF(F19="Major Injury","4",IF(F19="3 Day + Injury","3",IF(F19="Minor Injury","2",IF(F19="Near Miss","1",IF(F19="","0",))))))</f>
        <v>2</v>
      </c>
      <c r="H19" s="13">
        <f t="shared" ref="H19" si="8">E19*G19</f>
        <v>6</v>
      </c>
      <c r="I19" s="18"/>
      <c r="J19" s="18" t="s">
        <v>12</v>
      </c>
      <c r="K19" s="13" t="str">
        <f t="shared" ref="K19" si="9">IF(J19="Very Likely","5",IF(J19="Likely","4",IF(J19="Possible","3",IF(J19="Unlikely","2",IF(J19="Very Unlikely","1",IF(J19="","0",))))))</f>
        <v>2</v>
      </c>
      <c r="L19" s="34" t="s">
        <v>16</v>
      </c>
      <c r="M19" s="13" t="str">
        <f t="shared" ref="M19" si="10">IF(L19="Death","5",IF(L19="Major Injury","4",IF(L19="3 Day + Injury","3",IF(L19="Minor Injury","2",IF(L19="Near Miss","1",IF(L19="","0",))))))</f>
        <v>2</v>
      </c>
      <c r="N19" s="35">
        <f t="shared" ref="N19" si="11">K19*M19</f>
        <v>4</v>
      </c>
    </row>
    <row r="20" spans="1:14" x14ac:dyDescent="0.3">
      <c r="A20" s="18"/>
      <c r="B20" s="18"/>
      <c r="C20" s="19" t="s">
        <v>2</v>
      </c>
      <c r="D20" s="18" t="s">
        <v>11</v>
      </c>
      <c r="E20" s="13" t="str">
        <f t="shared" ref="E20:E22" si="12">IF(D20="Very Likely","5",IF(D20="Likely","4",IF(D20="Possible","3",IF(D20="Unlikely","2",IF(D20="Very Unlikely","1",IF(D20="","0",))))))</f>
        <v>3</v>
      </c>
      <c r="F20" s="34" t="s">
        <v>16</v>
      </c>
      <c r="G20" s="13" t="str">
        <f t="shared" ref="G20:G22" si="13">IF(F20="Death","5",IF(F20="Major Injury","4",IF(F20="3 Day + Injury","3",IF(F20="Minor Injury","2",IF(F20="Near Miss","1",IF(F20="","0",))))))</f>
        <v>2</v>
      </c>
      <c r="H20" s="13">
        <f t="shared" ref="H20:H22" si="14">E20*G20</f>
        <v>6</v>
      </c>
      <c r="I20" s="18"/>
      <c r="J20" s="18" t="s">
        <v>12</v>
      </c>
      <c r="K20" s="13" t="str">
        <f t="shared" ref="K20:K22" si="15">IF(J20="Very Likely","5",IF(J20="Likely","4",IF(J20="Possible","3",IF(J20="Unlikely","2",IF(J20="Very Unlikely","1",IF(J20="","0",))))))</f>
        <v>2</v>
      </c>
      <c r="L20" s="34" t="s">
        <v>16</v>
      </c>
      <c r="M20" s="13" t="str">
        <f t="shared" ref="M20:M22" si="16">IF(L20="Death","5",IF(L20="Major Injury","4",IF(L20="3 Day + Injury","3",IF(L20="Minor Injury","2",IF(L20="Near Miss","1",IF(L20="","0",))))))</f>
        <v>2</v>
      </c>
      <c r="N20" s="35">
        <f t="shared" ref="N20:N22" si="17">K20*M20</f>
        <v>4</v>
      </c>
    </row>
    <row r="21" spans="1:14" ht="13.05" customHeight="1" x14ac:dyDescent="0.3">
      <c r="A21" s="18"/>
      <c r="B21" s="18"/>
      <c r="C21" s="19" t="s">
        <v>2</v>
      </c>
      <c r="D21" s="18" t="s">
        <v>11</v>
      </c>
      <c r="E21" s="13" t="str">
        <f t="shared" si="12"/>
        <v>3</v>
      </c>
      <c r="F21" s="34" t="s">
        <v>16</v>
      </c>
      <c r="G21" s="13" t="str">
        <f t="shared" si="13"/>
        <v>2</v>
      </c>
      <c r="H21" s="13">
        <f t="shared" si="14"/>
        <v>6</v>
      </c>
      <c r="I21" s="18"/>
      <c r="J21" s="18" t="s">
        <v>12</v>
      </c>
      <c r="K21" s="13" t="str">
        <f t="shared" si="15"/>
        <v>2</v>
      </c>
      <c r="L21" s="1" t="s">
        <v>16</v>
      </c>
      <c r="M21" s="13" t="str">
        <f t="shared" si="16"/>
        <v>2</v>
      </c>
      <c r="N21" s="13">
        <f t="shared" si="17"/>
        <v>4</v>
      </c>
    </row>
    <row r="22" spans="1:14" ht="16.05" customHeight="1" x14ac:dyDescent="0.3">
      <c r="A22" s="18"/>
      <c r="B22" s="18"/>
      <c r="C22" s="19" t="s">
        <v>2</v>
      </c>
      <c r="D22" s="18" t="s">
        <v>11</v>
      </c>
      <c r="E22" s="13" t="str">
        <f t="shared" si="12"/>
        <v>3</v>
      </c>
      <c r="F22" s="34" t="s">
        <v>16</v>
      </c>
      <c r="G22" s="13" t="str">
        <f t="shared" si="13"/>
        <v>2</v>
      </c>
      <c r="H22" s="13">
        <f t="shared" si="14"/>
        <v>6</v>
      </c>
      <c r="I22" s="18"/>
      <c r="J22" s="18" t="s">
        <v>12</v>
      </c>
      <c r="K22" s="13" t="str">
        <f t="shared" si="15"/>
        <v>2</v>
      </c>
      <c r="L22" s="1" t="s">
        <v>16</v>
      </c>
      <c r="M22" s="13" t="str">
        <f t="shared" si="16"/>
        <v>2</v>
      </c>
      <c r="N22" s="35">
        <f t="shared" si="17"/>
        <v>4</v>
      </c>
    </row>
    <row r="23" spans="1:14" ht="14" customHeight="1" x14ac:dyDescent="0.3">
      <c r="A23" s="18"/>
      <c r="B23" s="18"/>
      <c r="C23" s="19" t="s">
        <v>2</v>
      </c>
      <c r="D23" s="18" t="s">
        <v>11</v>
      </c>
      <c r="E23" s="13" t="str">
        <f>IF(D23="Very Likely","5",IF(D23="Likely","4",IF(D23="Possible","3",IF(D23="Unlikely","2",IF(D23="Very Unlikely","1",IF(D23="","0",))))))</f>
        <v>3</v>
      </c>
      <c r="F23" s="34" t="s">
        <v>16</v>
      </c>
      <c r="G23" s="13" t="str">
        <f>IF(F23="Death","5",IF(F23="Major Injury","4",IF(F23="3 Day + Injury","3",IF(F23="Minor Injury","2",IF(F23="Near Miss","1",IF(F23="","0",))))))</f>
        <v>2</v>
      </c>
      <c r="H23" s="13">
        <f>E23*G23</f>
        <v>6</v>
      </c>
      <c r="I23" s="18"/>
      <c r="J23" s="18" t="s">
        <v>12</v>
      </c>
      <c r="K23" s="13" t="str">
        <f>IF(J23="Very Likely","5",IF(J23="Likely","4",IF(J23="Possible","3",IF(J23="Unlikely","2",IF(J23="Very Unlikely","1",IF(J23="","0",))))))</f>
        <v>2</v>
      </c>
      <c r="L23" s="1" t="s">
        <v>16</v>
      </c>
      <c r="M23" s="13" t="str">
        <f>IF(L23="Death","5",IF(L23="Major Injury","4",IF(L23="3 Day + Injury","3",IF(L23="Minor Injury","2",IF(L23="Near Miss","1",IF(L23="","0",))))))</f>
        <v>2</v>
      </c>
      <c r="N23" s="35">
        <f>K23*M23</f>
        <v>4</v>
      </c>
    </row>
    <row r="24" spans="1:14" x14ac:dyDescent="0.3">
      <c r="A24" s="18"/>
      <c r="B24" s="18"/>
      <c r="C24" s="19" t="s">
        <v>2</v>
      </c>
      <c r="D24" s="18" t="s">
        <v>11</v>
      </c>
      <c r="E24" s="13" t="str">
        <f t="shared" ref="E24:E25" si="18">IF(D24="Very Likely","5",IF(D24="Likely","4",IF(D24="Possible","3",IF(D24="Unlikely","2",IF(D24="Very Unlikely","1",IF(D24="","0",))))))</f>
        <v>3</v>
      </c>
      <c r="F24" s="34" t="s">
        <v>16</v>
      </c>
      <c r="G24" s="13" t="str">
        <f t="shared" ref="G24:G25" si="19">IF(F24="Death","5",IF(F24="Major Injury","4",IF(F24="3 Day + Injury","3",IF(F24="Minor Injury","2",IF(F24="Near Miss","1",IF(F24="","0",))))))</f>
        <v>2</v>
      </c>
      <c r="H24" s="13">
        <f t="shared" ref="H24:H25" si="20">E24*G24</f>
        <v>6</v>
      </c>
      <c r="I24" s="18"/>
      <c r="J24" s="18" t="s">
        <v>12</v>
      </c>
      <c r="K24" s="13" t="str">
        <f t="shared" ref="K24:K25" si="21">IF(J24="Very Likely","5",IF(J24="Likely","4",IF(J24="Possible","3",IF(J24="Unlikely","2",IF(J24="Very Unlikely","1",IF(J24="","0",))))))</f>
        <v>2</v>
      </c>
      <c r="L24" s="34" t="s">
        <v>16</v>
      </c>
      <c r="M24" s="13" t="str">
        <f t="shared" ref="M24:M25" si="22">IF(L24="Death","5",IF(L24="Major Injury","4",IF(L24="3 Day + Injury","3",IF(L24="Minor Injury","2",IF(L24="Near Miss","1",IF(L24="","0",))))))</f>
        <v>2</v>
      </c>
      <c r="N24" s="35">
        <f t="shared" ref="N24:N25" si="23">K24*M24</f>
        <v>4</v>
      </c>
    </row>
    <row r="25" spans="1:14" x14ac:dyDescent="0.3">
      <c r="A25" s="18"/>
      <c r="B25" s="18"/>
      <c r="C25" s="19" t="s">
        <v>2</v>
      </c>
      <c r="D25" s="18" t="s">
        <v>11</v>
      </c>
      <c r="E25" s="13" t="str">
        <f t="shared" si="18"/>
        <v>3</v>
      </c>
      <c r="F25" s="34" t="s">
        <v>16</v>
      </c>
      <c r="G25" s="13" t="str">
        <f t="shared" si="19"/>
        <v>2</v>
      </c>
      <c r="H25" s="13">
        <f t="shared" si="20"/>
        <v>6</v>
      </c>
      <c r="I25" s="18"/>
      <c r="J25" s="18" t="s">
        <v>12</v>
      </c>
      <c r="K25" s="13" t="str">
        <f t="shared" si="21"/>
        <v>2</v>
      </c>
      <c r="L25" s="34" t="s">
        <v>16</v>
      </c>
      <c r="M25" s="13" t="str">
        <f t="shared" si="22"/>
        <v>2</v>
      </c>
      <c r="N25" s="35">
        <f t="shared" si="23"/>
        <v>4</v>
      </c>
    </row>
    <row r="26" spans="1:14" x14ac:dyDescent="0.3"/>
    <row r="27" spans="1:14" x14ac:dyDescent="0.3"/>
    <row r="28" spans="1:14" x14ac:dyDescent="0.3"/>
    <row r="29" spans="1:14" x14ac:dyDescent="0.3"/>
    <row r="30" spans="1:14" x14ac:dyDescent="0.3"/>
    <row r="31" spans="1:14" x14ac:dyDescent="0.3"/>
    <row r="32" spans="1:14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</sheetData>
  <sheetProtection selectLockedCells="1"/>
  <mergeCells count="11">
    <mergeCell ref="K3:K7"/>
    <mergeCell ref="M3:M7"/>
    <mergeCell ref="I2:J2"/>
    <mergeCell ref="K1:N1"/>
    <mergeCell ref="A1:I1"/>
    <mergeCell ref="D6:H6"/>
    <mergeCell ref="D7:H7"/>
    <mergeCell ref="D2:H2"/>
    <mergeCell ref="D3:H3"/>
    <mergeCell ref="D4:H4"/>
    <mergeCell ref="D5:H5"/>
  </mergeCells>
  <conditionalFormatting sqref="D9:D25 J9:J25">
    <cfRule type="containsText" dxfId="54" priority="86" operator="containsText" text="Very Likely">
      <formula>NOT(ISERROR(SEARCH("Very Likely",D9)))</formula>
    </cfRule>
    <cfRule type="containsText" dxfId="53" priority="87" operator="containsText" text="Very Unlikely">
      <formula>NOT(ISERROR(SEARCH("Very Unlikely",D9)))</formula>
    </cfRule>
    <cfRule type="containsText" dxfId="52" priority="88" operator="containsText" text="Unlikely">
      <formula>NOT(ISERROR(SEARCH("Unlikely",D9)))</formula>
    </cfRule>
    <cfRule type="containsText" dxfId="51" priority="89" operator="containsText" text="Possible">
      <formula>NOT(ISERROR(SEARCH("Possible",D9)))</formula>
    </cfRule>
    <cfRule type="containsText" dxfId="50" priority="90" operator="containsText" text="Likely">
      <formula>NOT(ISERROR(SEARCH("Likely",D9)))</formula>
    </cfRule>
  </conditionalFormatting>
  <conditionalFormatting sqref="D17:D18">
    <cfRule type="containsText" dxfId="49" priority="36" operator="containsText" text="Very Likely">
      <formula>NOT(ISERROR(SEARCH("Very Likely",D17)))</formula>
    </cfRule>
    <cfRule type="containsText" dxfId="48" priority="37" operator="containsText" text="Very Unlikely">
      <formula>NOT(ISERROR(SEARCH("Very Unlikely",D17)))</formula>
    </cfRule>
    <cfRule type="containsText" dxfId="47" priority="38" operator="containsText" text="Unlikely">
      <formula>NOT(ISERROR(SEARCH("Unlikely",D17)))</formula>
    </cfRule>
    <cfRule type="containsText" dxfId="46" priority="39" operator="containsText" text="Possible">
      <formula>NOT(ISERROR(SEARCH("Possible",D17)))</formula>
    </cfRule>
    <cfRule type="containsText" dxfId="45" priority="40" operator="containsText" text="Likely">
      <formula>NOT(ISERROR(SEARCH("Likely",D17)))</formula>
    </cfRule>
  </conditionalFormatting>
  <conditionalFormatting sqref="D22:D23">
    <cfRule type="containsText" dxfId="44" priority="16" operator="containsText" text="Very Likely">
      <formula>NOT(ISERROR(SEARCH("Very Likely",D22)))</formula>
    </cfRule>
    <cfRule type="containsText" dxfId="43" priority="17" operator="containsText" text="Very Unlikely">
      <formula>NOT(ISERROR(SEARCH("Very Unlikely",D22)))</formula>
    </cfRule>
    <cfRule type="containsText" dxfId="42" priority="18" operator="containsText" text="Unlikely">
      <formula>NOT(ISERROR(SEARCH("Unlikely",D22)))</formula>
    </cfRule>
    <cfRule type="containsText" dxfId="41" priority="19" operator="containsText" text="Possible">
      <formula>NOT(ISERROR(SEARCH("Possible",D22)))</formula>
    </cfRule>
    <cfRule type="containsText" dxfId="40" priority="20" operator="containsText" text="Likely">
      <formula>NOT(ISERROR(SEARCH("Likely",D22)))</formula>
    </cfRule>
  </conditionalFormatting>
  <conditionalFormatting sqref="F9:F25 L9:L25">
    <cfRule type="containsText" dxfId="39" priority="77" operator="containsText" text="Death">
      <formula>NOT(ISERROR(SEARCH("Death",F9)))</formula>
    </cfRule>
    <cfRule type="containsText" dxfId="38" priority="78" operator="containsText" text="Major Injury">
      <formula>NOT(ISERROR(SEARCH("Major Injury",F9)))</formula>
    </cfRule>
    <cfRule type="containsText" dxfId="37" priority="79" operator="containsText" text="3 Day + Injury">
      <formula>NOT(ISERROR(SEARCH("3 Day + Injury",F9)))</formula>
    </cfRule>
    <cfRule type="containsText" dxfId="36" priority="80" operator="containsText" text="Minor Injury">
      <formula>NOT(ISERROR(SEARCH("Minor Injury",F9)))</formula>
    </cfRule>
    <cfRule type="containsText" dxfId="35" priority="81" operator="containsText" text="Near Miss">
      <formula>NOT(ISERROR(SEARCH("Near Miss",F9)))</formula>
    </cfRule>
  </conditionalFormatting>
  <conditionalFormatting sqref="F17:F18 L17:L18">
    <cfRule type="containsText" dxfId="34" priority="27" operator="containsText" text="Death">
      <formula>NOT(ISERROR(SEARCH("Death",F17)))</formula>
    </cfRule>
    <cfRule type="containsText" dxfId="33" priority="28" operator="containsText" text="Major Injury">
      <formula>NOT(ISERROR(SEARCH("Major Injury",F17)))</formula>
    </cfRule>
    <cfRule type="containsText" dxfId="32" priority="29" operator="containsText" text="3 Day + Injury">
      <formula>NOT(ISERROR(SEARCH("3 Day + Injury",F17)))</formula>
    </cfRule>
    <cfRule type="containsText" dxfId="31" priority="30" operator="containsText" text="Minor Injury">
      <formula>NOT(ISERROR(SEARCH("Minor Injury",F17)))</formula>
    </cfRule>
    <cfRule type="containsText" dxfId="30" priority="31" operator="containsText" text="Near Miss">
      <formula>NOT(ISERROR(SEARCH("Near Miss",F17)))</formula>
    </cfRule>
  </conditionalFormatting>
  <conditionalFormatting sqref="F22:F23 L22:L23">
    <cfRule type="containsText" dxfId="29" priority="7" operator="containsText" text="Death">
      <formula>NOT(ISERROR(SEARCH("Death",F22)))</formula>
    </cfRule>
    <cfRule type="containsText" dxfId="28" priority="8" operator="containsText" text="Major Injury">
      <formula>NOT(ISERROR(SEARCH("Major Injury",F22)))</formula>
    </cfRule>
    <cfRule type="containsText" dxfId="27" priority="9" operator="containsText" text="3 Day + Injury">
      <formula>NOT(ISERROR(SEARCH("3 Day + Injury",F22)))</formula>
    </cfRule>
    <cfRule type="containsText" dxfId="26" priority="10" operator="containsText" text="Minor Injury">
      <formula>NOT(ISERROR(SEARCH("Minor Injury",F22)))</formula>
    </cfRule>
    <cfRule type="containsText" dxfId="25" priority="11" operator="containsText" text="Near Miss">
      <formula>NOT(ISERROR(SEARCH("Near Miss",F22)))</formula>
    </cfRule>
  </conditionalFormatting>
  <conditionalFormatting sqref="H9:H25 N9:N25">
    <cfRule type="cellIs" dxfId="24" priority="71" operator="between">
      <formula>17</formula>
      <formula>25</formula>
    </cfRule>
    <cfRule type="cellIs" dxfId="23" priority="72" operator="between">
      <formula>11</formula>
      <formula>16</formula>
    </cfRule>
    <cfRule type="cellIs" dxfId="22" priority="73" operator="between">
      <formula>7</formula>
      <formula>10</formula>
    </cfRule>
    <cfRule type="cellIs" dxfId="21" priority="74" operator="between">
      <formula>4</formula>
      <formula>6</formula>
    </cfRule>
    <cfRule type="cellIs" dxfId="20" priority="75" operator="between">
      <formula>1</formula>
      <formula>3</formula>
    </cfRule>
  </conditionalFormatting>
  <conditionalFormatting sqref="H17:H18 N17:N18">
    <cfRule type="cellIs" dxfId="19" priority="21" operator="between">
      <formula>17</formula>
      <formula>25</formula>
    </cfRule>
    <cfRule type="cellIs" dxfId="18" priority="22" operator="between">
      <formula>11</formula>
      <formula>16</formula>
    </cfRule>
    <cfRule type="cellIs" dxfId="17" priority="23" operator="between">
      <formula>7</formula>
      <formula>10</formula>
    </cfRule>
    <cfRule type="cellIs" dxfId="16" priority="24" operator="between">
      <formula>4</formula>
      <formula>6</formula>
    </cfRule>
    <cfRule type="cellIs" dxfId="15" priority="25" operator="between">
      <formula>1</formula>
      <formula>3</formula>
    </cfRule>
  </conditionalFormatting>
  <conditionalFormatting sqref="H22:H23 N22:N23">
    <cfRule type="cellIs" dxfId="14" priority="1" operator="between">
      <formula>17</formula>
      <formula>25</formula>
    </cfRule>
    <cfRule type="cellIs" dxfId="13" priority="2" operator="between">
      <formula>11</formula>
      <formula>16</formula>
    </cfRule>
    <cfRule type="cellIs" dxfId="12" priority="3" operator="between">
      <formula>7</formula>
      <formula>10</formula>
    </cfRule>
    <cfRule type="cellIs" dxfId="11" priority="4" operator="between">
      <formula>4</formula>
      <formula>6</formula>
    </cfRule>
    <cfRule type="cellIs" dxfId="10" priority="5" operator="between">
      <formula>1</formula>
      <formula>3</formula>
    </cfRule>
  </conditionalFormatting>
  <conditionalFormatting sqref="J17:J18">
    <cfRule type="containsText" dxfId="9" priority="26" operator="containsText" text="Very Likely">
      <formula>NOT(ISERROR(SEARCH("Very Likely",J17)))</formula>
    </cfRule>
    <cfRule type="containsText" dxfId="8" priority="32" operator="containsText" text="Very Unlikely">
      <formula>NOT(ISERROR(SEARCH("Very Unlikely",J17)))</formula>
    </cfRule>
    <cfRule type="containsText" dxfId="7" priority="33" operator="containsText" text="Unlikely">
      <formula>NOT(ISERROR(SEARCH("Unlikely",J17)))</formula>
    </cfRule>
    <cfRule type="containsText" dxfId="6" priority="34" operator="containsText" text="Possible">
      <formula>NOT(ISERROR(SEARCH("Possible",J17)))</formula>
    </cfRule>
    <cfRule type="containsText" dxfId="5" priority="35" operator="containsText" text="Likely">
      <formula>NOT(ISERROR(SEARCH("Likely",J17)))</formula>
    </cfRule>
  </conditionalFormatting>
  <conditionalFormatting sqref="J22:J23">
    <cfRule type="containsText" dxfId="4" priority="6" operator="containsText" text="Very Likely">
      <formula>NOT(ISERROR(SEARCH("Very Likely",J22)))</formula>
    </cfRule>
    <cfRule type="containsText" dxfId="3" priority="12" operator="containsText" text="Very Unlikely">
      <formula>NOT(ISERROR(SEARCH("Very Unlikely",J22)))</formula>
    </cfRule>
    <cfRule type="containsText" dxfId="2" priority="13" operator="containsText" text="Unlikely">
      <formula>NOT(ISERROR(SEARCH("Unlikely",J22)))</formula>
    </cfRule>
    <cfRule type="containsText" dxfId="1" priority="14" operator="containsText" text="Possible">
      <formula>NOT(ISERROR(SEARCH("Possible",J22)))</formula>
    </cfRule>
    <cfRule type="containsText" dxfId="0" priority="15" operator="containsText" text="Likely">
      <formula>NOT(ISERROR(SEARCH("Likely",J22)))</formula>
    </cfRule>
  </conditionalFormatting>
  <dataValidations xWindow="482" yWindow="487" count="4">
    <dataValidation type="list" allowBlank="1" showInputMessage="1" showErrorMessage="1" errorTitle="error" error="You must select a stand type" prompt="Plese select a stand type from the drop down box" sqref="B6" xr:uid="{00000000-0002-0000-0000-000000000000}">
      <formula1>$O$2:$O$8</formula1>
    </dataValidation>
    <dataValidation type="list" showErrorMessage="1" errorTitle="Error" error="Please select who is at risk from the drop down box" prompt="_x000a_" sqref="C9:C25" xr:uid="{00000000-0002-0000-0000-000001000000}">
      <formula1>$I$3:$I$7</formula1>
    </dataValidation>
    <dataValidation type="list" allowBlank="1" showInputMessage="1" showErrorMessage="1" error="Please select a Risk Severity from the drop down box" prompt="Please select a Risk Severity from the drop down box" sqref="L9:L25 F9:F25" xr:uid="{00000000-0002-0000-0000-000002000000}">
      <formula1>$N$3:$N$7</formula1>
    </dataValidation>
    <dataValidation type="list" allowBlank="1" showInputMessage="1" showErrorMessage="1" errorTitle="Error" error="Please select a risk level from the drop down box" prompt="Please select a Risk Likelyhood from the drop down box" sqref="D9:D25 J9:J25" xr:uid="{00000000-0002-0000-0000-000003000000}">
      <formula1>$L$3:$L$7</formula1>
    </dataValidation>
  </dataValidations>
  <hyperlinks>
    <hyperlink ref="D7" r:id="rId1" xr:uid="{DF2FE0EA-6DE9-4CCE-8D6E-C9575135D1B3}"/>
  </hyperlinks>
  <pageMargins left="0.25" right="0.25" top="0.75" bottom="0.75" header="0.3" footer="0.3"/>
  <pageSetup paperSize="9" scale="65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Scientist Live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2025-10-03T17:09:45Z</cp:lastPrinted>
  <dcterms:created xsi:type="dcterms:W3CDTF">2014-01-16T10:40:40Z</dcterms:created>
  <dcterms:modified xsi:type="dcterms:W3CDTF">2026-02-20T02:15:42Z</dcterms:modified>
</cp:coreProperties>
</file>